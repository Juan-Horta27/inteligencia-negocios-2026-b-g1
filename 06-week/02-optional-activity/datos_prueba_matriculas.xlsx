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HECHOS_MATRICULA" sheetId="2" state="visible" r:id="rId4"/>
    <sheet name="DIM_TIEMPO" sheetId="3" state="visible" r:id="rId5"/>
    <sheet name="DIM_ESTUDIANTE" sheetId="4" state="visible" r:id="rId6"/>
    <sheet name="DIM_PROGRAMA" sheetId="5" state="visible" r:id="rId7"/>
    <sheet name="DIM_SEDE" sheetId="6" state="visible" r:id="rId8"/>
    <sheet name="VERIFICAC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<sst xmlns="http://schemas.openxmlformats.org/spreadsheetml/2006/main" count="156" uniqueCount="79">
  <si>
    <t xml:space="preserve">Datos de prueba - Modelo estrella de matriculas</t>
  </si>
  <si>
    <t xml:space="preserve">GRANO DE LA TABLA DE HECHOS:</t>
  </si>
  <si>
    <t xml:space="preserve">Una fila = un estudiante, matriculado en un programa, en un periodo academico.</t>
  </si>
  <si>
    <t xml:space="preserve">Cada fila de HECHOS_MATRICULA es unica por la combinacion id_estudiante + id_tiempo.</t>
  </si>
  <si>
    <t xml:space="preserve">Ningun estudiante aparece dos veces en el mismo periodo, y no hay filas de totales:</t>
  </si>
  <si>
    <t xml:space="preserve">todas las filas estan al mismo nivel de detalle.</t>
  </si>
  <si>
    <t xml:space="preserve">HOJAS DEL LIBRO:</t>
  </si>
  <si>
    <t xml:space="preserve">HECHOS_MATRICULA   14 filas de prueba, con claves foraneas y medidas.</t>
  </si>
  <si>
    <t xml:space="preserve">DIM_TIEMPO         3 periodos academicos (2025-1, 2025-2, 2026-1).</t>
  </si>
  <si>
    <t xml:space="preserve">DIM_ESTUDIANTE     7 estudiantes, con su cohorte de ingreso.</t>
  </si>
  <si>
    <t xml:space="preserve">DIM_PROGRAMA       2 programas de la Facultad de Ingenieria.</t>
  </si>
  <si>
    <t xml:space="preserve">DIM_SEDE           3 sedes.</t>
  </si>
  <si>
    <t xml:space="preserve">VERIFICACION       calcula la retencion a primer year sobre estos mismos datos.</t>
  </si>
  <si>
    <t xml:space="preserve">NOTA: los datos son ficticios, construidos para probar el modelo. No corresponden</t>
  </si>
  <si>
    <t xml:space="preserve">a cifras reales de ninguna institucion.</t>
  </si>
  <si>
    <t xml:space="preserve">id_tiempo</t>
  </si>
  <si>
    <t xml:space="preserve">id_estudiante</t>
  </si>
  <si>
    <t xml:space="preserve">id_programa</t>
  </si>
  <si>
    <t xml:space="preserve">id_sede</t>
  </si>
  <si>
    <t xml:space="preserve">semestre_cursado</t>
  </si>
  <si>
    <t xml:space="preserve">matriculado</t>
  </si>
  <si>
    <t xml:space="preserve">creditos_inscritos</t>
  </si>
  <si>
    <t xml:space="preserve">valor_matricula</t>
  </si>
  <si>
    <t xml:space="preserve">E-001</t>
  </si>
  <si>
    <t xml:space="preserve">P-07</t>
  </si>
  <si>
    <t xml:space="preserve">S-02</t>
  </si>
  <si>
    <t xml:space="preserve">E-002</t>
  </si>
  <si>
    <t xml:space="preserve">E-003</t>
  </si>
  <si>
    <t xml:space="preserve">S-01</t>
  </si>
  <si>
    <t xml:space="preserve">E-006</t>
  </si>
  <si>
    <t xml:space="preserve">P-12</t>
  </si>
  <si>
    <t xml:space="preserve">E-007</t>
  </si>
  <si>
    <t xml:space="preserve">S-03</t>
  </si>
  <si>
    <t xml:space="preserve">E-004</t>
  </si>
  <si>
    <t xml:space="preserve">E-005</t>
  </si>
  <si>
    <t xml:space="preserve">Grano: una fila = un estudiante, en un programa, en un periodo academico. Datos ficticios de prueba.</t>
  </si>
  <si>
    <t xml:space="preserve">anio</t>
  </si>
  <si>
    <t xml:space="preserve">semestre</t>
  </si>
  <si>
    <t xml:space="preserve">periodo</t>
  </si>
  <si>
    <t xml:space="preserve">fecha_inicio_clases</t>
  </si>
  <si>
    <t xml:space="preserve">2025-1</t>
  </si>
  <si>
    <t xml:space="preserve">2025-01-27</t>
  </si>
  <si>
    <t xml:space="preserve">2025-2</t>
  </si>
  <si>
    <t xml:space="preserve">2025-07-21</t>
  </si>
  <si>
    <t xml:space="preserve">2026-1</t>
  </si>
  <si>
    <t xml:space="preserve">2026-01-26</t>
  </si>
  <si>
    <t xml:space="preserve">cohorte_ingreso</t>
  </si>
  <si>
    <t xml:space="preserve">jornada</t>
  </si>
  <si>
    <t xml:space="preserve">modalidad_admision</t>
  </si>
  <si>
    <t xml:space="preserve">Diurna</t>
  </si>
  <si>
    <t xml:space="preserve">Regular</t>
  </si>
  <si>
    <t xml:space="preserve">Nocturna</t>
  </si>
  <si>
    <t xml:space="preserve">Transferencia</t>
  </si>
  <si>
    <t xml:space="preserve">nombre_programa</t>
  </si>
  <si>
    <t xml:space="preserve">facultad</t>
  </si>
  <si>
    <t xml:space="preserve">nivel_formacion</t>
  </si>
  <si>
    <t xml:space="preserve">metodologia</t>
  </si>
  <si>
    <t xml:space="preserve">Ingenieria de Sistemas</t>
  </si>
  <si>
    <t xml:space="preserve">Ingenieria</t>
  </si>
  <si>
    <t xml:space="preserve">Pregrado</t>
  </si>
  <si>
    <t xml:space="preserve">Presencial</t>
  </si>
  <si>
    <t xml:space="preserve">Ingenieria Industrial</t>
  </si>
  <si>
    <t xml:space="preserve">nombre_sede</t>
  </si>
  <si>
    <t xml:space="preserve">municipio</t>
  </si>
  <si>
    <t xml:space="preserve">departamento</t>
  </si>
  <si>
    <t xml:space="preserve">Quirinal</t>
  </si>
  <si>
    <t xml:space="preserve">Neiva</t>
  </si>
  <si>
    <t xml:space="preserve">Huila</t>
  </si>
  <si>
    <t xml:space="preserve">Prado Alto</t>
  </si>
  <si>
    <t xml:space="preserve">Pitalito</t>
  </si>
  <si>
    <t xml:space="preserve">Retencion a primer year - cohorte 2025-1 de Ingenieria de Sistemas (P-07)</t>
  </si>
  <si>
    <t xml:space="preserve">Se cuentan los estudiantes de la cohorte en su periodo de ingreso y en el tercer periodo.</t>
  </si>
  <si>
    <t xml:space="preserve">cohorte</t>
  </si>
  <si>
    <t xml:space="preserve">Matriculado 2025-1</t>
  </si>
  <si>
    <t xml:space="preserve">Matriculado 2026-1</t>
  </si>
  <si>
    <t xml:space="preserve">Ingresaron en 2025-1</t>
  </si>
  <si>
    <t xml:space="preserve">Siguen en 2026-1</t>
  </si>
  <si>
    <t xml:space="preserve">Retencion a primer year</t>
  </si>
  <si>
    <t xml:space="preserve">Este calculo solo es posible porque el grano guarda una fila por estudiante y periodo.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</si>
</sst>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General"/>
    <numFmt numFmtId="167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6F6B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6B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4" t="s">
        <v>13</v>
      </c>
    </row>
    <row r="19" customFormat="false" ht="15" hidden="false" customHeight="false" outlineLevel="0" collapsed="false">
      <c r="A19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18"/>
  </cols>
  <sheetData>
    <row r="1" customFormat="false" ht="15" hidden="false" customHeight="false" outlineLevel="0" collapsed="false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</row>
    <row r="2" customFormat="false" ht="15" hidden="false" customHeight="false" outlineLevel="0" collapsed="false">
      <c r="A2" s="6" t="n">
        <v>20251</v>
      </c>
      <c r="B2" s="6" t="s">
        <v>23</v>
      </c>
      <c r="C2" s="6" t="s">
        <v>24</v>
      </c>
      <c r="D2" s="6" t="s">
        <v>25</v>
      </c>
      <c r="E2" s="6" t="n">
        <v>1</v>
      </c>
      <c r="F2" s="6" t="n">
        <v>1</v>
      </c>
      <c r="G2" s="6" t="n">
        <v>18</v>
      </c>
      <c r="H2" s="7" t="n">
        <v>3250000</v>
      </c>
    </row>
    <row r="3" customFormat="false" ht="15" hidden="false" customHeight="false" outlineLevel="0" collapsed="false">
      <c r="A3" s="6" t="n">
        <v>20251</v>
      </c>
      <c r="B3" s="6" t="s">
        <v>26</v>
      </c>
      <c r="C3" s="6" t="s">
        <v>24</v>
      </c>
      <c r="D3" s="6" t="s">
        <v>25</v>
      </c>
      <c r="E3" s="6" t="n">
        <v>1</v>
      </c>
      <c r="F3" s="6" t="n">
        <v>1</v>
      </c>
      <c r="G3" s="6" t="n">
        <v>18</v>
      </c>
      <c r="H3" s="7" t="n">
        <v>3250000</v>
      </c>
    </row>
    <row r="4" customFormat="false" ht="15" hidden="false" customHeight="false" outlineLevel="0" collapsed="false">
      <c r="A4" s="6" t="n">
        <v>20251</v>
      </c>
      <c r="B4" s="6" t="s">
        <v>27</v>
      </c>
      <c r="C4" s="6" t="s">
        <v>24</v>
      </c>
      <c r="D4" s="6" t="s">
        <v>28</v>
      </c>
      <c r="E4" s="6" t="n">
        <v>1</v>
      </c>
      <c r="F4" s="6" t="n">
        <v>1</v>
      </c>
      <c r="G4" s="6" t="n">
        <v>15</v>
      </c>
      <c r="H4" s="7" t="n">
        <v>3250000</v>
      </c>
    </row>
    <row r="5" customFormat="false" ht="15" hidden="false" customHeight="false" outlineLevel="0" collapsed="false">
      <c r="A5" s="6" t="n">
        <v>20251</v>
      </c>
      <c r="B5" s="6" t="s">
        <v>29</v>
      </c>
      <c r="C5" s="6" t="s">
        <v>30</v>
      </c>
      <c r="D5" s="6" t="s">
        <v>25</v>
      </c>
      <c r="E5" s="6" t="n">
        <v>1</v>
      </c>
      <c r="F5" s="6" t="n">
        <v>1</v>
      </c>
      <c r="G5" s="6" t="n">
        <v>18</v>
      </c>
      <c r="H5" s="7" t="n">
        <v>3180000</v>
      </c>
    </row>
    <row r="6" customFormat="false" ht="15" hidden="false" customHeight="false" outlineLevel="0" collapsed="false">
      <c r="A6" s="6" t="n">
        <v>20251</v>
      </c>
      <c r="B6" s="6" t="s">
        <v>31</v>
      </c>
      <c r="C6" s="6" t="s">
        <v>30</v>
      </c>
      <c r="D6" s="6" t="s">
        <v>32</v>
      </c>
      <c r="E6" s="6" t="n">
        <v>1</v>
      </c>
      <c r="F6" s="6" t="n">
        <v>1</v>
      </c>
      <c r="G6" s="6" t="n">
        <v>16</v>
      </c>
      <c r="H6" s="7" t="n">
        <v>3180000</v>
      </c>
    </row>
    <row r="7" customFormat="false" ht="15" hidden="false" customHeight="false" outlineLevel="0" collapsed="false">
      <c r="A7" s="6" t="n">
        <v>20252</v>
      </c>
      <c r="B7" s="6" t="s">
        <v>23</v>
      </c>
      <c r="C7" s="6" t="s">
        <v>24</v>
      </c>
      <c r="D7" s="6" t="s">
        <v>25</v>
      </c>
      <c r="E7" s="6" t="n">
        <v>2</v>
      </c>
      <c r="F7" s="6" t="n">
        <v>1</v>
      </c>
      <c r="G7" s="6" t="n">
        <v>18</v>
      </c>
      <c r="H7" s="7" t="n">
        <v>3380000</v>
      </c>
    </row>
    <row r="8" customFormat="false" ht="15" hidden="false" customHeight="false" outlineLevel="0" collapsed="false">
      <c r="A8" s="6" t="n">
        <v>20252</v>
      </c>
      <c r="B8" s="6" t="s">
        <v>26</v>
      </c>
      <c r="C8" s="6" t="s">
        <v>24</v>
      </c>
      <c r="D8" s="6" t="s">
        <v>25</v>
      </c>
      <c r="E8" s="6" t="n">
        <v>2</v>
      </c>
      <c r="F8" s="6" t="n">
        <v>1</v>
      </c>
      <c r="G8" s="6" t="n">
        <v>16</v>
      </c>
      <c r="H8" s="7" t="n">
        <v>3380000</v>
      </c>
    </row>
    <row r="9" customFormat="false" ht="15" hidden="false" customHeight="false" outlineLevel="0" collapsed="false">
      <c r="A9" s="6" t="n">
        <v>20252</v>
      </c>
      <c r="B9" s="6" t="s">
        <v>33</v>
      </c>
      <c r="C9" s="6" t="s">
        <v>24</v>
      </c>
      <c r="D9" s="6" t="s">
        <v>32</v>
      </c>
      <c r="E9" s="6" t="n">
        <v>1</v>
      </c>
      <c r="F9" s="6" t="n">
        <v>1</v>
      </c>
      <c r="G9" s="6" t="n">
        <v>15</v>
      </c>
      <c r="H9" s="7" t="n">
        <v>3380000</v>
      </c>
    </row>
    <row r="10" customFormat="false" ht="15" hidden="false" customHeight="false" outlineLevel="0" collapsed="false">
      <c r="A10" s="6" t="n">
        <v>20252</v>
      </c>
      <c r="B10" s="6" t="s">
        <v>34</v>
      </c>
      <c r="C10" s="6" t="s">
        <v>24</v>
      </c>
      <c r="D10" s="6" t="s">
        <v>28</v>
      </c>
      <c r="E10" s="6" t="n">
        <v>1</v>
      </c>
      <c r="F10" s="6" t="n">
        <v>1</v>
      </c>
      <c r="G10" s="6" t="n">
        <v>18</v>
      </c>
      <c r="H10" s="7" t="n">
        <v>3380000</v>
      </c>
    </row>
    <row r="11" customFormat="false" ht="15" hidden="false" customHeight="false" outlineLevel="0" collapsed="false">
      <c r="A11" s="6" t="n">
        <v>20252</v>
      </c>
      <c r="B11" s="6" t="s">
        <v>29</v>
      </c>
      <c r="C11" s="6" t="s">
        <v>30</v>
      </c>
      <c r="D11" s="6" t="s">
        <v>25</v>
      </c>
      <c r="E11" s="6" t="n">
        <v>2</v>
      </c>
      <c r="F11" s="6" t="n">
        <v>1</v>
      </c>
      <c r="G11" s="6" t="n">
        <v>18</v>
      </c>
      <c r="H11" s="7" t="n">
        <v>3300000</v>
      </c>
    </row>
    <row r="12" customFormat="false" ht="15" hidden="false" customHeight="false" outlineLevel="0" collapsed="false">
      <c r="A12" s="6" t="n">
        <v>20261</v>
      </c>
      <c r="B12" s="6" t="s">
        <v>23</v>
      </c>
      <c r="C12" s="6" t="s">
        <v>24</v>
      </c>
      <c r="D12" s="6" t="s">
        <v>25</v>
      </c>
      <c r="E12" s="6" t="n">
        <v>3</v>
      </c>
      <c r="F12" s="6" t="n">
        <v>1</v>
      </c>
      <c r="G12" s="6" t="n">
        <v>17</v>
      </c>
      <c r="H12" s="7" t="n">
        <v>3510000</v>
      </c>
    </row>
    <row r="13" customFormat="false" ht="15" hidden="false" customHeight="false" outlineLevel="0" collapsed="false">
      <c r="A13" s="6" t="n">
        <v>20261</v>
      </c>
      <c r="B13" s="6" t="s">
        <v>26</v>
      </c>
      <c r="C13" s="6" t="s">
        <v>24</v>
      </c>
      <c r="D13" s="6" t="s">
        <v>25</v>
      </c>
      <c r="E13" s="6" t="n">
        <v>3</v>
      </c>
      <c r="F13" s="6" t="n">
        <v>1</v>
      </c>
      <c r="G13" s="6" t="n">
        <v>18</v>
      </c>
      <c r="H13" s="7" t="n">
        <v>3510000</v>
      </c>
    </row>
    <row r="14" customFormat="false" ht="15" hidden="false" customHeight="false" outlineLevel="0" collapsed="false">
      <c r="A14" s="6" t="n">
        <v>20261</v>
      </c>
      <c r="B14" s="6" t="s">
        <v>33</v>
      </c>
      <c r="C14" s="6" t="s">
        <v>24</v>
      </c>
      <c r="D14" s="6" t="s">
        <v>32</v>
      </c>
      <c r="E14" s="6" t="n">
        <v>2</v>
      </c>
      <c r="F14" s="6" t="n">
        <v>1</v>
      </c>
      <c r="G14" s="6" t="n">
        <v>16</v>
      </c>
      <c r="H14" s="7" t="n">
        <v>3510000</v>
      </c>
    </row>
    <row r="15" customFormat="false" ht="15" hidden="false" customHeight="false" outlineLevel="0" collapsed="false">
      <c r="A15" s="6" t="n">
        <v>20261</v>
      </c>
      <c r="B15" s="6" t="s">
        <v>29</v>
      </c>
      <c r="C15" s="6" t="s">
        <v>30</v>
      </c>
      <c r="D15" s="6" t="s">
        <v>25</v>
      </c>
      <c r="E15" s="6" t="n">
        <v>3</v>
      </c>
      <c r="F15" s="6" t="n">
        <v>1</v>
      </c>
      <c r="G15" s="6" t="n">
        <v>18</v>
      </c>
      <c r="H15" s="7" t="n">
        <v>3430000</v>
      </c>
    </row>
    <row r="17" customFormat="false" ht="15" hidden="false" customHeight="false" outlineLevel="0" collapsed="false">
      <c r="A17" s="4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4" min="3" style="0" width="10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5" t="s">
        <v>15</v>
      </c>
      <c r="B1" s="5" t="s">
        <v>36</v>
      </c>
      <c r="C1" s="5" t="s">
        <v>37</v>
      </c>
      <c r="D1" s="5" t="s">
        <v>38</v>
      </c>
      <c r="E1" s="5" t="s">
        <v>39</v>
      </c>
    </row>
    <row r="2" customFormat="false" ht="15" hidden="false" customHeight="false" outlineLevel="0" collapsed="false">
      <c r="A2" s="6" t="n">
        <v>20251</v>
      </c>
      <c r="B2" s="6" t="n">
        <v>2025</v>
      </c>
      <c r="C2" s="6" t="n">
        <v>1</v>
      </c>
      <c r="D2" s="6" t="s">
        <v>40</v>
      </c>
      <c r="E2" s="6" t="s">
        <v>41</v>
      </c>
    </row>
    <row r="3" customFormat="false" ht="15" hidden="false" customHeight="false" outlineLevel="0" collapsed="false">
      <c r="A3" s="6" t="n">
        <v>20252</v>
      </c>
      <c r="B3" s="6" t="n">
        <v>2025</v>
      </c>
      <c r="C3" s="6" t="n">
        <v>2</v>
      </c>
      <c r="D3" s="6" t="s">
        <v>42</v>
      </c>
      <c r="E3" s="6" t="s">
        <v>43</v>
      </c>
    </row>
    <row r="4" customFormat="false" ht="15" hidden="false" customHeight="false" outlineLevel="0" collapsed="false">
      <c r="A4" s="6" t="n">
        <v>20261</v>
      </c>
      <c r="B4" s="6" t="n">
        <v>2026</v>
      </c>
      <c r="C4" s="6" t="n">
        <v>1</v>
      </c>
      <c r="D4" s="6" t="s">
        <v>44</v>
      </c>
      <c r="E4" s="6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22"/>
  </cols>
  <sheetData>
    <row r="1" customFormat="false" ht="15" hidden="false" customHeight="false" outlineLevel="0" collapsed="false">
      <c r="A1" s="5" t="s">
        <v>16</v>
      </c>
      <c r="B1" s="5" t="s">
        <v>46</v>
      </c>
      <c r="C1" s="5" t="s">
        <v>47</v>
      </c>
      <c r="D1" s="5" t="s">
        <v>48</v>
      </c>
    </row>
    <row r="2" customFormat="false" ht="15" hidden="false" customHeight="false" outlineLevel="0" collapsed="false">
      <c r="A2" s="6" t="s">
        <v>23</v>
      </c>
      <c r="B2" s="6" t="s">
        <v>40</v>
      </c>
      <c r="C2" s="6" t="s">
        <v>49</v>
      </c>
      <c r="D2" s="6" t="s">
        <v>50</v>
      </c>
    </row>
    <row r="3" customFormat="false" ht="15" hidden="false" customHeight="false" outlineLevel="0" collapsed="false">
      <c r="A3" s="6" t="s">
        <v>26</v>
      </c>
      <c r="B3" s="6" t="s">
        <v>40</v>
      </c>
      <c r="C3" s="6" t="s">
        <v>49</v>
      </c>
      <c r="D3" s="6" t="s">
        <v>50</v>
      </c>
    </row>
    <row r="4" customFormat="false" ht="15" hidden="false" customHeight="false" outlineLevel="0" collapsed="false">
      <c r="A4" s="6" t="s">
        <v>27</v>
      </c>
      <c r="B4" s="6" t="s">
        <v>40</v>
      </c>
      <c r="C4" s="6" t="s">
        <v>51</v>
      </c>
      <c r="D4" s="6" t="s">
        <v>50</v>
      </c>
    </row>
    <row r="5" customFormat="false" ht="15" hidden="false" customHeight="false" outlineLevel="0" collapsed="false">
      <c r="A5" s="6" t="s">
        <v>33</v>
      </c>
      <c r="B5" s="6" t="s">
        <v>42</v>
      </c>
      <c r="C5" s="6" t="s">
        <v>49</v>
      </c>
      <c r="D5" s="6" t="s">
        <v>52</v>
      </c>
    </row>
    <row r="6" customFormat="false" ht="15" hidden="false" customHeight="false" outlineLevel="0" collapsed="false">
      <c r="A6" s="6" t="s">
        <v>34</v>
      </c>
      <c r="B6" s="6" t="s">
        <v>42</v>
      </c>
      <c r="C6" s="6" t="s">
        <v>51</v>
      </c>
      <c r="D6" s="6" t="s">
        <v>50</v>
      </c>
    </row>
    <row r="7" customFormat="false" ht="15" hidden="false" customHeight="false" outlineLevel="0" collapsed="false">
      <c r="A7" s="6" t="s">
        <v>29</v>
      </c>
      <c r="B7" s="6" t="s">
        <v>40</v>
      </c>
      <c r="C7" s="6" t="s">
        <v>49</v>
      </c>
      <c r="D7" s="6" t="s">
        <v>50</v>
      </c>
    </row>
    <row r="8" customFormat="false" ht="15" hidden="false" customHeight="false" outlineLevel="0" collapsed="false">
      <c r="A8" s="6" t="s">
        <v>31</v>
      </c>
      <c r="B8" s="6" t="s">
        <v>40</v>
      </c>
      <c r="C8" s="6" t="s">
        <v>51</v>
      </c>
      <c r="D8" s="6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5" t="s">
        <v>17</v>
      </c>
      <c r="B1" s="5" t="s">
        <v>53</v>
      </c>
      <c r="C1" s="5" t="s">
        <v>54</v>
      </c>
      <c r="D1" s="5" t="s">
        <v>55</v>
      </c>
      <c r="E1" s="5" t="s">
        <v>56</v>
      </c>
    </row>
    <row r="2" customFormat="false" ht="15" hidden="false" customHeight="false" outlineLevel="0" collapsed="false">
      <c r="A2" s="6" t="s">
        <v>24</v>
      </c>
      <c r="B2" s="6" t="s">
        <v>57</v>
      </c>
      <c r="C2" s="6" t="s">
        <v>58</v>
      </c>
      <c r="D2" s="6" t="s">
        <v>59</v>
      </c>
      <c r="E2" s="6" t="s">
        <v>60</v>
      </c>
    </row>
    <row r="3" customFormat="false" ht="15" hidden="false" customHeight="false" outlineLevel="0" collapsed="false">
      <c r="A3" s="6" t="s">
        <v>30</v>
      </c>
      <c r="B3" s="6" t="s">
        <v>61</v>
      </c>
      <c r="C3" s="6" t="s">
        <v>58</v>
      </c>
      <c r="D3" s="6" t="s">
        <v>59</v>
      </c>
      <c r="E3" s="6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4" min="3" style="0" width="14"/>
  </cols>
  <sheetData>
    <row r="1" customFormat="false" ht="15" hidden="false" customHeight="false" outlineLevel="0" collapsed="false">
      <c r="A1" s="5" t="s">
        <v>18</v>
      </c>
      <c r="B1" s="5" t="s">
        <v>62</v>
      </c>
      <c r="C1" s="5" t="s">
        <v>63</v>
      </c>
      <c r="D1" s="5" t="s">
        <v>64</v>
      </c>
    </row>
    <row r="2" customFormat="false" ht="15" hidden="false" customHeight="false" outlineLevel="0" collapsed="false">
      <c r="A2" s="6" t="s">
        <v>28</v>
      </c>
      <c r="B2" s="6" t="s">
        <v>65</v>
      </c>
      <c r="C2" s="6" t="s">
        <v>66</v>
      </c>
      <c r="D2" s="6" t="s">
        <v>67</v>
      </c>
    </row>
    <row r="3" customFormat="false" ht="15" hidden="false" customHeight="false" outlineLevel="0" collapsed="false">
      <c r="A3" s="6" t="s">
        <v>25</v>
      </c>
      <c r="B3" s="6" t="s">
        <v>68</v>
      </c>
      <c r="C3" s="6" t="s">
        <v>66</v>
      </c>
      <c r="D3" s="6" t="s">
        <v>67</v>
      </c>
    </row>
    <row r="4" customFormat="false" ht="15" hidden="false" customHeight="false" outlineLevel="0" collapsed="false">
      <c r="A4" s="6" t="s">
        <v>32</v>
      </c>
      <c r="B4" s="6" t="s">
        <v>69</v>
      </c>
      <c r="C4" s="6" t="s">
        <v>69</v>
      </c>
      <c r="D4" s="6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4" min="3" style="0" width="20"/>
  </cols>
  <sheetData>
    <row r="1" customFormat="false" ht="15" hidden="false" customHeight="false" outlineLevel="0" collapsed="false">
      <c r="A1" s="1" t="s">
        <v>70</v>
      </c>
    </row>
    <row r="2" customFormat="false" ht="15" hidden="false" customHeight="false" outlineLevel="0" collapsed="false">
      <c r="A2" s="4" t="s">
        <v>71</v>
      </c>
    </row>
    <row r="4" customFormat="false" ht="15" hidden="false" customHeight="false" outlineLevel="0" collapsed="false">
      <c r="A4" s="5" t="s">
        <v>16</v>
      </c>
      <c r="B4" s="5" t="s">
        <v>72</v>
      </c>
      <c r="C4" s="5" t="s">
        <v>73</v>
      </c>
      <c r="D4" s="5" t="s">
        <v>74</v>
      </c>
    </row>
    <row r="5" customFormat="false" ht="15" hidden="false" customHeight="false" outlineLevel="0" collapsed="false">
      <c r="A5" s="6" t="s">
        <v>23</v>
      </c>
      <c r="B5" s="6" t="s">
        <v>40</v>
      </c>
      <c r="C5" s="8" t="n">
        <f aca="false">COUNTIFS(HECHOS_MATRICULA!$B$2:$B$15,A5,HECHOS_MATRICULA!$A$2:$A$15,20251,HECHOS_MATRICULA!$C$2:$C$15,"P-07")</f>
        <v>1</v>
      </c>
      <c r="D5" s="8" t="n">
        <f aca="false">COUNTIFS(HECHOS_MATRICULA!$B$2:$B$15,A5,HECHOS_MATRICULA!$A$2:$A$15,20261,HECHOS_MATRICULA!$C$2:$C$15,"P-07")</f>
        <v>1</v>
      </c>
    </row>
    <row r="6" customFormat="false" ht="15" hidden="false" customHeight="false" outlineLevel="0" collapsed="false">
      <c r="A6" s="6" t="s">
        <v>26</v>
      </c>
      <c r="B6" s="6" t="s">
        <v>40</v>
      </c>
      <c r="C6" s="8" t="n">
        <f aca="false">COUNTIFS(HECHOS_MATRICULA!$B$2:$B$15,A6,HECHOS_MATRICULA!$A$2:$A$15,20251,HECHOS_MATRICULA!$C$2:$C$15,"P-07")</f>
        <v>1</v>
      </c>
      <c r="D6" s="8" t="n">
        <f aca="false">COUNTIFS(HECHOS_MATRICULA!$B$2:$B$15,A6,HECHOS_MATRICULA!$A$2:$A$15,20261,HECHOS_MATRICULA!$C$2:$C$15,"P-07")</f>
        <v>1</v>
      </c>
    </row>
    <row r="7" customFormat="false" ht="15" hidden="false" customHeight="false" outlineLevel="0" collapsed="false">
      <c r="A7" s="6" t="s">
        <v>27</v>
      </c>
      <c r="B7" s="6" t="s">
        <v>40</v>
      </c>
      <c r="C7" s="8" t="n">
        <f aca="false">COUNTIFS(HECHOS_MATRICULA!$B$2:$B$15,A7,HECHOS_MATRICULA!$A$2:$A$15,20251,HECHOS_MATRICULA!$C$2:$C$15,"P-07")</f>
        <v>1</v>
      </c>
      <c r="D7" s="8" t="n">
        <f aca="false">COUNTIFS(HECHOS_MATRICULA!$B$2:$B$15,A7,HECHOS_MATRICULA!$A$2:$A$15,20261,HECHOS_MATRICULA!$C$2:$C$15,"P-07")</f>
        <v>0</v>
      </c>
    </row>
    <row r="9" customFormat="false" ht="15" hidden="false" customHeight="false" outlineLevel="0" collapsed="false">
      <c r="A9" s="3" t="s">
        <v>75</v>
      </c>
      <c r="C9" s="9" t="n">
        <f aca="false">SUM(C5:C7)</f>
        <v>3</v>
      </c>
    </row>
    <row r="10" customFormat="false" ht="15" hidden="false" customHeight="false" outlineLevel="0" collapsed="false">
      <c r="A10" s="3" t="s">
        <v>76</v>
      </c>
      <c r="C10" s="9" t="n">
        <f aca="false">SUM(D5:D7)</f>
        <v>2</v>
      </c>
    </row>
    <row r="11" customFormat="false" ht="15" hidden="false" customHeight="false" outlineLevel="0" collapsed="false">
      <c r="A11" s="3" t="s">
        <v>77</v>
      </c>
      <c r="C11" s="10" t="n">
        <f aca="false">IFERROR(C10/C9,0)</f>
        <v>0.666666666666667</v>
      </c>
    </row>
    <row r="13" customFormat="false" ht="15" hidden="false" customHeight="false" outlineLevel="0" collapsed="false">
      <c r="A13" s="4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2026-09-09T20:07:58Z</dcterms:created>
  <dc:creator>openpyxl</dc:creator>
  <dc:description/>
  <dc:language>en-US</dc:language>
  <cp:lastModifiedBy/>
  <dcterms:modified xsi:type="dcterms:W3CDTF">2026-09-09T20:07:58Z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